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綠島案\dashboard\SDG6\"/>
    </mc:Choice>
  </mc:AlternateContent>
  <bookViews>
    <workbookView xWindow="0" yWindow="0" windowWidth="25365" windowHeight="10890"/>
  </bookViews>
  <sheets>
    <sheet name="工作表1" sheetId="1" r:id="rId1"/>
    <sheet name="工作表2" sheetId="2" r:id="rId2"/>
    <sheet name="工作表3" sheetId="3" r:id="rId3"/>
    <sheet name="工作表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D4" i="2"/>
</calcChain>
</file>

<file path=xl/sharedStrings.xml><?xml version="1.0" encoding="utf-8"?>
<sst xmlns="http://schemas.openxmlformats.org/spreadsheetml/2006/main" count="81" uniqueCount="70">
  <si>
    <t>109年</t>
  </si>
  <si>
    <t>備註</t>
    <phoneticPr fontId="2" type="noConversion"/>
  </si>
  <si>
    <t>項次</t>
    <phoneticPr fontId="2" type="noConversion"/>
  </si>
  <si>
    <t>指標名稱</t>
    <phoneticPr fontId="2" type="noConversion"/>
  </si>
  <si>
    <t>SDG</t>
    <phoneticPr fontId="2" type="noConversion"/>
  </si>
  <si>
    <t>單位</t>
    <phoneticPr fontId="2" type="noConversion"/>
  </si>
  <si>
    <t>110年</t>
    <phoneticPr fontId="2" type="noConversion"/>
  </si>
  <si>
    <t>111年</t>
    <phoneticPr fontId="2" type="noConversion"/>
  </si>
  <si>
    <t>112年</t>
    <phoneticPr fontId="2" type="noConversion"/>
  </si>
  <si>
    <t>113年</t>
    <phoneticPr fontId="2" type="noConversion"/>
  </si>
  <si>
    <t>114年</t>
    <phoneticPr fontId="2" type="noConversion"/>
  </si>
  <si>
    <t>主管機關</t>
    <phoneticPr fontId="2" type="noConversion"/>
  </si>
  <si>
    <t>%</t>
    <phoneticPr fontId="2" type="noConversion"/>
  </si>
  <si>
    <t>%</t>
    <phoneticPr fontId="2" type="noConversion"/>
  </si>
  <si>
    <t>公升/日</t>
    <phoneticPr fontId="2" type="noConversion"/>
  </si>
  <si>
    <t>%</t>
    <phoneticPr fontId="2" type="noConversion"/>
  </si>
  <si>
    <t>自來水供水普及率</t>
    <phoneticPr fontId="2" type="noConversion"/>
  </si>
  <si>
    <t>整體污水處理率</t>
  </si>
  <si>
    <t>每人每日用水量</t>
  </si>
  <si>
    <t>漏水率</t>
  </si>
  <si>
    <t>為綠島鄉數據</t>
    <phoneticPr fontId="2" type="noConversion"/>
  </si>
  <si>
    <t>核心目標 6 確保環境品質及永續管理環境資源。
指標6.1.1：使用量足質優自來水的人口比率</t>
    <phoneticPr fontId="2" type="noConversion"/>
  </si>
  <si>
    <t>指標6.3.2：整體污水處理率</t>
    <phoneticPr fontId="2" type="noConversion"/>
  </si>
  <si>
    <t>指標6.4.1：民生用水效率</t>
    <phoneticPr fontId="2" type="noConversion"/>
  </si>
  <si>
    <t>指標6.4.4：降低自來水漏水率</t>
    <phoneticPr fontId="2" type="noConversion"/>
  </si>
  <si>
    <t>台水公司長期辦理降低漏水率工作，預計121年底漏水率再降至9.77%</t>
    <phoneticPr fontId="2" type="noConversion"/>
  </si>
  <si>
    <t>供水量</t>
    <phoneticPr fontId="2" type="noConversion"/>
  </si>
  <si>
    <t>CMD</t>
    <phoneticPr fontId="2" type="noConversion"/>
  </si>
  <si>
    <t>供水戶數</t>
    <phoneticPr fontId="2" type="noConversion"/>
  </si>
  <si>
    <t>戶</t>
    <phoneticPr fontId="2" type="noConversion"/>
  </si>
  <si>
    <t>臺東縣綠島鄉</t>
  </si>
  <si>
    <t>中華民國112年</t>
  </si>
  <si>
    <t>月份</t>
  </si>
  <si>
    <t>供水量
（CMD）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</si>
  <si>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</si>
  <si>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</si>
  <si>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</si>
  <si>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</si>
  <si>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</si>
  <si>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</si>
  <si>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</si>
  <si>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</si>
  <si>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</si>
  <si>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</si>
  <si>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</si>
  <si>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</si>
  <si>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</si>
  <si>
    <t>供水戶口概況－按鄉鎮（市）區別分</t>
  </si>
  <si>
    <t>　　　　　中華民國112年</t>
  </si>
  <si>
    <t xml:space="preserve">   行 政 區 域 戶 口</t>
  </si>
  <si>
    <t xml:space="preserve">   供 水 區 域 戶 口</t>
  </si>
  <si>
    <t xml:space="preserve">    供  水  戶  口</t>
  </si>
  <si>
    <t xml:space="preserve"> 實 際 供 水 普 及 率( ％ )
G=F/B</t>
  </si>
  <si>
    <r>
      <t>鄉鎮</t>
    </r>
    <r>
      <rPr>
        <sz val="13"/>
        <color rgb="FF000000"/>
        <rFont val="Times New Roman"/>
        <family val="1"/>
      </rPr>
      <t>(</t>
    </r>
    <r>
      <rPr>
        <sz val="13"/>
        <color rgb="FF000000"/>
        <rFont val="標楷體"/>
        <family val="4"/>
        <charset val="136"/>
      </rPr>
      <t>市</t>
    </r>
    <r>
      <rPr>
        <sz val="13"/>
        <color rgb="FF000000"/>
        <rFont val="Times New Roman"/>
        <family val="1"/>
      </rPr>
      <t>)</t>
    </r>
    <r>
      <rPr>
        <sz val="13"/>
        <color rgb="FF000000"/>
        <rFont val="標楷體"/>
        <family val="4"/>
        <charset val="136"/>
      </rPr>
      <t>區別</t>
    </r>
  </si>
  <si>
    <t>戶  數</t>
  </si>
  <si>
    <t>人  數</t>
  </si>
  <si>
    <r>
      <t>(</t>
    </r>
    <r>
      <rPr>
        <sz val="12"/>
        <color rgb="FF000000"/>
        <rFont val="標楷體"/>
        <family val="4"/>
        <charset val="136"/>
      </rPr>
      <t>戶</t>
    </r>
    <r>
      <rPr>
        <sz val="12"/>
        <color rgb="FF000000"/>
        <rFont val="Times New Roman"/>
        <family val="1"/>
      </rPr>
      <t>) A</t>
    </r>
  </si>
  <si>
    <r>
      <t>(</t>
    </r>
    <r>
      <rPr>
        <sz val="12"/>
        <color rgb="FF000000"/>
        <rFont val="標楷體"/>
        <family val="4"/>
        <charset val="136"/>
      </rPr>
      <t>人</t>
    </r>
    <r>
      <rPr>
        <sz val="12"/>
        <color rgb="FF000000"/>
        <rFont val="Times New Roman"/>
        <family val="1"/>
      </rPr>
      <t>) B</t>
    </r>
  </si>
  <si>
    <r>
      <t>(</t>
    </r>
    <r>
      <rPr>
        <sz val="12"/>
        <color rgb="FF000000"/>
        <rFont val="標楷體"/>
        <family val="4"/>
        <charset val="136"/>
      </rPr>
      <t>戶</t>
    </r>
    <r>
      <rPr>
        <sz val="12"/>
        <color rgb="FF000000"/>
        <rFont val="Times New Roman"/>
        <family val="1"/>
      </rPr>
      <t>) C</t>
    </r>
  </si>
  <si>
    <r>
      <t>(</t>
    </r>
    <r>
      <rPr>
        <sz val="12"/>
        <color rgb="FF000000"/>
        <rFont val="標楷體"/>
        <family val="4"/>
        <charset val="136"/>
      </rPr>
      <t>人</t>
    </r>
    <r>
      <rPr>
        <sz val="12"/>
        <color rgb="FF000000"/>
        <rFont val="Times New Roman"/>
        <family val="1"/>
      </rPr>
      <t>)D= C×(B/A)</t>
    </r>
  </si>
  <si>
    <r>
      <t>(</t>
    </r>
    <r>
      <rPr>
        <sz val="12"/>
        <color rgb="FF000000"/>
        <rFont val="標楷體"/>
        <family val="4"/>
        <charset val="136"/>
      </rPr>
      <t>戶</t>
    </r>
    <r>
      <rPr>
        <sz val="12"/>
        <color rgb="FF000000"/>
        <rFont val="Times New Roman"/>
        <family val="1"/>
      </rPr>
      <t>) E</t>
    </r>
  </si>
  <si>
    <r>
      <t>(</t>
    </r>
    <r>
      <rPr>
        <sz val="12"/>
        <color rgb="FF000000"/>
        <rFont val="標楷體"/>
        <family val="4"/>
        <charset val="136"/>
      </rPr>
      <t>人</t>
    </r>
    <r>
      <rPr>
        <sz val="12"/>
        <color rgb="FF000000"/>
        <rFont val="Times New Roman"/>
        <family val="1"/>
      </rPr>
      <t>) F=E</t>
    </r>
    <r>
      <rPr>
        <sz val="12"/>
        <color rgb="FF000000"/>
        <rFont val="標楷體"/>
        <family val="4"/>
        <charset val="136"/>
      </rPr>
      <t>×</t>
    </r>
    <r>
      <rPr>
        <sz val="12"/>
        <color rgb="FF000000"/>
        <rFont val="Times New Roman"/>
        <family val="1"/>
      </rPr>
      <t>(B/A)</t>
    </r>
  </si>
  <si>
    <t>中華民國 113年1月10日編製</t>
  </si>
  <si>
    <t>100年</t>
    <phoneticPr fontId="2" type="noConversion"/>
  </si>
  <si>
    <t>101年</t>
    <phoneticPr fontId="2" type="noConversion"/>
  </si>
  <si>
    <t>102年</t>
    <phoneticPr fontId="2" type="noConversion"/>
  </si>
  <si>
    <t>103年</t>
    <phoneticPr fontId="2" type="noConversion"/>
  </si>
  <si>
    <t>104年</t>
    <phoneticPr fontId="2" type="noConversion"/>
  </si>
  <si>
    <t>綠島鄉每戶平均供水量</t>
  </si>
  <si>
    <t>公升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</si>
</sst>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&quot; &quot;"/>
    <numFmt numFmtId="177" formatCode="#,###"/>
  </numFmts>
  <fonts count="16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5D5D5D"/>
      <name val="Noto Sans TC"/>
      <family val="2"/>
      <charset val="136"/>
    </font>
    <font>
      <sz val="12"/>
      <color rgb="FF000000"/>
      <name val="新細明體"/>
      <family val="1"/>
      <charset val="136"/>
    </font>
    <font>
      <sz val="16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3"/>
      <color rgb="FF000000"/>
      <name val="華康中楷體"/>
      <family val="3"/>
      <charset val="136"/>
    </font>
    <font>
      <sz val="20"/>
      <color rgb="FF000000"/>
      <name val="標楷體"/>
      <family val="4"/>
      <charset val="136"/>
    </font>
    <font>
      <sz val="13"/>
      <color rgb="FF000000"/>
      <name val="標楷體"/>
      <family val="4"/>
      <charset val="136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 applyNumberFormat="0" applyBorder="0" applyProtection="0"/>
    <xf numFmtId="0" fontId="9" fillId="0" borderId="0"/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>
      <alignment vertical="center"/>
    </xf>
    <xf numFmtId="0" fontId="4" fillId="0" borderId="0" xfId="1" applyFont="1" applyFill="1" applyBorder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 wrapText="1"/>
    </xf>
    <xf numFmtId="3" fontId="5" fillId="0" borderId="0" xfId="0" applyNumberFormat="1" applyFont="1" applyFill="1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/>
    <xf numFmtId="0" fontId="8" fillId="0" borderId="0" xfId="2" applyFont="1" applyAlignment="1">
      <alignment horizontal="center" vertical="center" wrapText="1"/>
    </xf>
    <xf numFmtId="176" fontId="8" fillId="0" borderId="0" xfId="2" applyNumberFormat="1" applyFont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4"/>
    <xf numFmtId="0" fontId="10" fillId="0" borderId="1" xfId="4" applyFont="1" applyBorder="1" applyAlignment="1">
      <alignment horizontal="center"/>
    </xf>
    <xf numFmtId="0" fontId="10" fillId="0" borderId="0" xfId="4" applyFont="1"/>
    <xf numFmtId="0" fontId="11" fillId="0" borderId="0" xfId="4" applyFont="1" applyFill="1" applyAlignment="1" applyProtection="1"/>
    <xf numFmtId="0" fontId="10" fillId="0" borderId="1" xfId="4" applyFont="1" applyBorder="1"/>
    <xf numFmtId="0" fontId="9" fillId="0" borderId="2" xfId="4" applyBorder="1"/>
    <xf numFmtId="0" fontId="12" fillId="0" borderId="0" xfId="4" applyFont="1" applyFill="1" applyAlignment="1" applyProtection="1">
      <alignment horizontal="left" vertical="center"/>
    </xf>
    <xf numFmtId="0" fontId="12" fillId="0" borderId="3" xfId="4" applyFont="1" applyBorder="1"/>
    <xf numFmtId="0" fontId="12" fillId="0" borderId="0" xfId="4" applyFont="1"/>
    <xf numFmtId="0" fontId="12" fillId="0" borderId="6" xfId="4" applyFont="1" applyBorder="1" applyAlignment="1">
      <alignment horizontal="center" vertical="center"/>
    </xf>
    <xf numFmtId="0" fontId="12" fillId="0" borderId="7" xfId="4" applyFont="1" applyBorder="1" applyAlignment="1">
      <alignment horizontal="center" vertical="center"/>
    </xf>
    <xf numFmtId="0" fontId="12" fillId="0" borderId="8" xfId="4" applyFont="1" applyBorder="1"/>
    <xf numFmtId="0" fontId="14" fillId="0" borderId="9" xfId="4" applyFont="1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12" fillId="0" borderId="4" xfId="4" applyFont="1" applyFill="1" applyBorder="1" applyAlignment="1" applyProtection="1">
      <alignment horizontal="center" vertical="center"/>
    </xf>
    <xf numFmtId="177" fontId="12" fillId="0" borderId="4" xfId="4" applyNumberFormat="1" applyFont="1" applyFill="1" applyBorder="1" applyAlignment="1" applyProtection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/>
    </xf>
    <xf numFmtId="0" fontId="12" fillId="0" borderId="5" xfId="4" applyFont="1" applyFill="1" applyBorder="1" applyAlignment="1">
      <alignment horizontal="left" vertical="center"/>
    </xf>
    <xf numFmtId="2" fontId="12" fillId="0" borderId="4" xfId="4" applyNumberFormat="1" applyFont="1" applyFill="1" applyBorder="1" applyAlignment="1" applyProtection="1">
      <alignment horizontal="center" vertical="center"/>
    </xf>
    <xf numFmtId="0" fontId="12" fillId="0" borderId="4" xfId="4" applyFont="1" applyFill="1" applyBorder="1" applyAlignment="1">
      <alignment horizontal="center" vertical="center"/>
    </xf>
    <xf numFmtId="0" fontId="12" fillId="0" borderId="4" xfId="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>
      <alignment vertical="center"/>
    </xf>
  </cellXfs>
  <cellStyles count="5">
    <cellStyle name="一般" xfId="0" builtinId="0"/>
    <cellStyle name="一般 2" xfId="2"/>
    <cellStyle name="一般 3" xfId="4"/>
    <cellStyle name="一般 85" xfId="3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H5" sqref="H5"/>
    </sheetView>
  </sheetViews>
  <sheetFormatPr defaultRowHeight="15.75"/>
  <cols>
    <col min="1" max="1" width="9.125" style="3" bestFit="1" customWidth="1"/>
    <col min="2" max="2" width="22.375" style="3" customWidth="1"/>
    <col min="3" max="3" width="9.125" style="3" bestFit="1" customWidth="1"/>
    <col min="4" max="4" width="9" style="3"/>
    <col min="5" max="7" width="10.75" style="3" bestFit="1" customWidth="1"/>
    <col min="8" max="8" width="9.625" style="3" bestFit="1" customWidth="1"/>
    <col min="9" max="10" width="10.75" style="3" bestFit="1" customWidth="1"/>
    <col min="11" max="11" width="14.5" style="3" customWidth="1"/>
    <col min="12" max="12" width="44.875" style="3" customWidth="1"/>
    <col min="13" max="16384" width="9" style="3"/>
  </cols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</v>
      </c>
    </row>
    <row r="2" spans="1:13" ht="31.5">
      <c r="A2" s="2"/>
      <c r="B2" s="2" t="s">
        <v>16</v>
      </c>
      <c r="C2" s="2">
        <v>6</v>
      </c>
      <c r="D2" s="2" t="s">
        <v>12</v>
      </c>
      <c r="E2" s="2">
        <v>69.599999999999994</v>
      </c>
      <c r="F2" s="2">
        <v>68.67</v>
      </c>
      <c r="G2" s="2">
        <v>68.12</v>
      </c>
      <c r="H2" s="2">
        <v>65.040000000000006</v>
      </c>
      <c r="I2" s="2">
        <v>60.09</v>
      </c>
      <c r="K2" s="2" t="s">
        <v>20</v>
      </c>
      <c r="L2" s="8" t="s">
        <v>21</v>
      </c>
    </row>
    <row r="3" spans="1:13">
      <c r="A3" s="2"/>
      <c r="B3" s="2" t="s">
        <v>17</v>
      </c>
      <c r="C3" s="2">
        <v>6</v>
      </c>
      <c r="D3" s="2" t="s">
        <v>13</v>
      </c>
      <c r="E3" s="2"/>
      <c r="F3" s="2"/>
      <c r="G3" s="2"/>
      <c r="H3" s="2"/>
      <c r="I3" s="2">
        <v>7.47</v>
      </c>
      <c r="K3" s="2" t="s">
        <v>20</v>
      </c>
      <c r="L3" s="2" t="s">
        <v>22</v>
      </c>
    </row>
    <row r="4" spans="1:13">
      <c r="A4" s="2"/>
      <c r="B4" s="2" t="s">
        <v>18</v>
      </c>
      <c r="C4" s="2">
        <v>6</v>
      </c>
      <c r="D4" s="2" t="s">
        <v>14</v>
      </c>
      <c r="E4" s="2">
        <v>349</v>
      </c>
      <c r="F4" s="2">
        <v>334</v>
      </c>
      <c r="G4" s="2">
        <v>358</v>
      </c>
      <c r="H4" s="2">
        <v>344</v>
      </c>
      <c r="I4" s="2">
        <v>465</v>
      </c>
      <c r="K4" s="2" t="s">
        <v>20</v>
      </c>
      <c r="L4" s="2" t="s">
        <v>23</v>
      </c>
    </row>
    <row r="5" spans="1:13" ht="21">
      <c r="A5" s="2"/>
      <c r="B5" s="2" t="s">
        <v>19</v>
      </c>
      <c r="C5" s="2">
        <v>6</v>
      </c>
      <c r="D5" s="2" t="s">
        <v>15</v>
      </c>
      <c r="E5" s="2"/>
      <c r="F5" s="2"/>
      <c r="G5" s="2"/>
      <c r="H5" s="2"/>
      <c r="I5" s="2">
        <v>36.81</v>
      </c>
      <c r="K5" s="2" t="s">
        <v>20</v>
      </c>
      <c r="L5" s="2" t="s">
        <v>24</v>
      </c>
      <c r="M5" s="9" t="s">
        <v>25</v>
      </c>
    </row>
    <row r="6" spans="1:13">
      <c r="A6" s="2"/>
      <c r="E6" s="2"/>
      <c r="F6" s="2"/>
      <c r="G6" s="2"/>
      <c r="H6" s="2"/>
      <c r="I6" s="2"/>
      <c r="J6" s="2"/>
      <c r="K6" s="2"/>
      <c r="L6" s="2"/>
    </row>
    <row r="7" spans="1:13">
      <c r="A7" s="2"/>
      <c r="E7" s="2"/>
      <c r="F7" s="2"/>
      <c r="G7" s="2"/>
      <c r="H7" s="2"/>
      <c r="I7" s="2"/>
      <c r="J7" s="2"/>
      <c r="K7" s="2"/>
      <c r="L7" s="4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>
      <c r="A11" s="2"/>
      <c r="B11" s="2"/>
      <c r="C11" s="2"/>
      <c r="D11" s="2"/>
      <c r="E11" s="5"/>
      <c r="F11" s="5"/>
      <c r="G11" s="5"/>
      <c r="H11" s="5"/>
      <c r="I11" s="5"/>
      <c r="J11" s="6"/>
      <c r="K11" s="2"/>
      <c r="L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>
      <c r="A13" s="2"/>
      <c r="B13" s="2"/>
      <c r="C13" s="2"/>
      <c r="D13" s="2"/>
      <c r="E13" s="7"/>
      <c r="F13" s="7"/>
      <c r="G13" s="7"/>
      <c r="H13" s="7"/>
      <c r="I13" s="7"/>
      <c r="J13" s="7"/>
      <c r="K13" s="2"/>
      <c r="L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>
      <c r="A15" s="2"/>
    </row>
    <row r="16" spans="1:13">
      <c r="A16" s="2"/>
    </row>
    <row r="17" spans="1:1">
      <c r="A17" s="2"/>
    </row>
    <row r="18" spans="1:1">
      <c r="A18" s="2"/>
    </row>
    <row r="19" spans="1:1">
      <c r="A19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D3" sqref="D3:H3"/>
    </sheetView>
  </sheetViews>
  <sheetFormatPr defaultRowHeight="16.5"/>
  <cols>
    <col min="1" max="1" width="20.25" customWidth="1"/>
    <col min="4" max="4" width="12.75" bestFit="1" customWidth="1"/>
  </cols>
  <sheetData>
    <row r="1" spans="1:8">
      <c r="A1" s="38" t="s">
        <v>3</v>
      </c>
      <c r="B1" s="38" t="s">
        <v>4</v>
      </c>
      <c r="C1" s="38" t="s">
        <v>5</v>
      </c>
      <c r="D1" s="39" t="s">
        <v>63</v>
      </c>
      <c r="E1" s="39" t="s">
        <v>64</v>
      </c>
      <c r="F1" s="39" t="s">
        <v>65</v>
      </c>
      <c r="G1" s="39" t="s">
        <v>66</v>
      </c>
      <c r="H1" s="39" t="s">
        <v>67</v>
      </c>
    </row>
    <row r="2" spans="1:8">
      <c r="A2" s="38" t="s">
        <v>26</v>
      </c>
      <c r="B2" s="38">
        <v>6</v>
      </c>
      <c r="C2" s="38" t="s">
        <v>27</v>
      </c>
      <c r="D2" s="39">
        <v>72712</v>
      </c>
      <c r="E2" s="39">
        <v>66740</v>
      </c>
      <c r="F2" s="38">
        <v>67858</v>
      </c>
      <c r="G2" s="38">
        <v>68012</v>
      </c>
      <c r="H2" s="38">
        <v>67630</v>
      </c>
    </row>
    <row r="3" spans="1:8">
      <c r="A3" s="38" t="s">
        <v>28</v>
      </c>
      <c r="B3" s="38">
        <v>6</v>
      </c>
      <c r="C3" s="38" t="s">
        <v>29</v>
      </c>
      <c r="D3" s="39">
        <v>57092</v>
      </c>
      <c r="E3" s="39">
        <v>57652</v>
      </c>
      <c r="F3" s="38">
        <v>57966</v>
      </c>
      <c r="G3" s="38">
        <v>58075</v>
      </c>
      <c r="H3" s="38">
        <v>58729</v>
      </c>
    </row>
    <row r="4" spans="1:8">
      <c r="A4" s="40" t="s">
        <v>68</v>
      </c>
      <c r="B4">
        <v>6</v>
      </c>
      <c r="C4" s="38" t="s">
        <v>69</v>
      </c>
      <c r="D4">
        <f>(D2/D3)*1000</f>
        <v>1273.5934982134099</v>
      </c>
      <c r="E4">
        <f t="shared" ref="E4:H4" si="0">(E2/E3)*1000</f>
        <v>1157.6354679802955</v>
      </c>
      <c r="F4">
        <f t="shared" si="0"/>
        <v>1170.651761377359</v>
      </c>
      <c r="G4">
        <f t="shared" si="0"/>
        <v>1171.1063280241067</v>
      </c>
      <c r="H4">
        <f t="shared" si="0"/>
        <v>1151.5605578164109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A4" sqref="A4:B15"/>
    </sheetView>
  </sheetViews>
  <sheetFormatPr defaultRowHeight="16.5"/>
  <cols>
    <col min="2" max="2" width="13" bestFit="1" customWidth="1"/>
  </cols>
  <sheetData>
    <row r="1" spans="1:3" ht="21">
      <c r="A1" s="32" t="s">
        <v>30</v>
      </c>
      <c r="B1" s="32"/>
      <c r="C1" s="11"/>
    </row>
    <row r="2" spans="1:3" ht="21">
      <c r="A2" s="33" t="s">
        <v>31</v>
      </c>
      <c r="B2" s="33"/>
      <c r="C2" s="12"/>
    </row>
    <row r="3" spans="1:3" ht="42">
      <c r="A3" s="10" t="s">
        <v>32</v>
      </c>
      <c r="B3" s="13" t="s">
        <v>33</v>
      </c>
      <c r="C3" s="10"/>
    </row>
    <row r="4" spans="1:3" ht="21">
      <c r="A4" s="10" t="s">
        <v>34</v>
      </c>
      <c r="B4" s="14">
        <v>31687</v>
      </c>
      <c r="C4" s="11"/>
    </row>
    <row r="5" spans="1:3" ht="21">
      <c r="A5" s="10" t="s">
        <v>35</v>
      </c>
      <c r="B5" s="14">
        <v>24053</v>
      </c>
      <c r="C5" s="11"/>
    </row>
    <row r="6" spans="1:3" ht="21">
      <c r="A6" s="10" t="s">
        <v>36</v>
      </c>
      <c r="B6" s="14">
        <v>28827</v>
      </c>
      <c r="C6" s="11"/>
    </row>
    <row r="7" spans="1:3" ht="21">
      <c r="A7" s="10" t="s">
        <v>37</v>
      </c>
      <c r="B7" s="14">
        <v>33314</v>
      </c>
      <c r="C7" s="11"/>
    </row>
    <row r="8" spans="1:3" ht="21">
      <c r="A8" s="10" t="s">
        <v>38</v>
      </c>
      <c r="B8" s="14">
        <v>32498</v>
      </c>
      <c r="C8" s="11"/>
    </row>
    <row r="9" spans="1:3" ht="21">
      <c r="A9" s="10" t="s">
        <v>39</v>
      </c>
      <c r="B9" s="14">
        <v>37532</v>
      </c>
      <c r="C9" s="11"/>
    </row>
    <row r="10" spans="1:3" ht="21">
      <c r="A10" s="10" t="s">
        <v>40</v>
      </c>
      <c r="B10" s="14">
        <v>46113</v>
      </c>
      <c r="C10" s="11"/>
    </row>
    <row r="11" spans="1:3" ht="21">
      <c r="A11" s="10" t="s">
        <v>41</v>
      </c>
      <c r="B11" s="14">
        <v>39609</v>
      </c>
      <c r="C11" s="11"/>
    </row>
    <row r="12" spans="1:3" ht="21">
      <c r="A12" s="10" t="s">
        <v>42</v>
      </c>
      <c r="B12" s="14">
        <v>36244</v>
      </c>
      <c r="C12" s="11"/>
    </row>
    <row r="13" spans="1:3" ht="21">
      <c r="A13" s="10" t="s">
        <v>43</v>
      </c>
      <c r="B13" s="14">
        <v>34216</v>
      </c>
      <c r="C13" s="11"/>
    </row>
    <row r="14" spans="1:3" ht="21">
      <c r="A14" s="10" t="s">
        <v>44</v>
      </c>
      <c r="B14" s="14">
        <v>25911</v>
      </c>
      <c r="C14" s="11"/>
    </row>
    <row r="15" spans="1:3" ht="21">
      <c r="A15" s="10" t="s">
        <v>45</v>
      </c>
      <c r="B15" s="14">
        <v>25244</v>
      </c>
      <c r="C15" s="11"/>
    </row>
    <row r="16" spans="1:3" ht="21">
      <c r="A16" s="10"/>
      <c r="B16" s="10"/>
      <c r="C16" s="11"/>
    </row>
    <row r="17" spans="1:3" ht="21">
      <c r="A17" s="10" t="s">
        <v>46</v>
      </c>
      <c r="B17" s="14">
        <v>395248</v>
      </c>
      <c r="C17" s="15"/>
    </row>
    <row r="18" spans="1:3">
      <c r="A18" s="15"/>
      <c r="B18" s="15"/>
      <c r="C18" s="15"/>
    </row>
  </sheetData>
  <mergeCells count="2">
    <mergeCell ref="A1:B1"/>
    <mergeCell ref="A2:B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B3" sqref="B3:C4"/>
    </sheetView>
  </sheetViews>
  <sheetFormatPr defaultRowHeight="16.5"/>
  <cols>
    <col min="1" max="1" width="15.75" bestFit="1" customWidth="1"/>
    <col min="2" max="3" width="8.5" bestFit="1" customWidth="1"/>
    <col min="5" max="5" width="15.125" bestFit="1" customWidth="1"/>
    <col min="6" max="6" width="8.5" bestFit="1" customWidth="1"/>
    <col min="7" max="7" width="14.375" bestFit="1" customWidth="1"/>
  </cols>
  <sheetData>
    <row r="1" spans="1:9" ht="27.75">
      <c r="A1" s="17"/>
      <c r="B1" s="18"/>
      <c r="C1" s="18"/>
      <c r="D1" s="19" t="s">
        <v>47</v>
      </c>
      <c r="E1" s="16"/>
      <c r="F1" s="18"/>
      <c r="G1" s="18"/>
      <c r="H1" s="20"/>
      <c r="I1" s="20"/>
    </row>
    <row r="2" spans="1:9" ht="17.25">
      <c r="A2" s="21"/>
      <c r="B2" s="16"/>
      <c r="C2" s="16"/>
      <c r="D2" s="22" t="s">
        <v>48</v>
      </c>
      <c r="E2" s="16"/>
      <c r="F2" s="16"/>
      <c r="G2" s="16"/>
      <c r="H2" s="16"/>
      <c r="I2" s="16"/>
    </row>
    <row r="3" spans="1:9" ht="17.25">
      <c r="A3" s="23"/>
      <c r="B3" s="36" t="s">
        <v>49</v>
      </c>
      <c r="C3" s="36"/>
      <c r="D3" s="36" t="s">
        <v>50</v>
      </c>
      <c r="E3" s="36"/>
      <c r="F3" s="36" t="s">
        <v>51</v>
      </c>
      <c r="G3" s="36"/>
      <c r="H3" s="37" t="s">
        <v>52</v>
      </c>
      <c r="I3" s="37"/>
    </row>
    <row r="4" spans="1:9">
      <c r="A4" s="34" t="s">
        <v>53</v>
      </c>
      <c r="B4" s="36"/>
      <c r="C4" s="36"/>
      <c r="D4" s="36"/>
      <c r="E4" s="36"/>
      <c r="F4" s="36"/>
      <c r="G4" s="36"/>
      <c r="H4" s="37"/>
      <c r="I4" s="37"/>
    </row>
    <row r="5" spans="1:9" ht="17.25">
      <c r="A5" s="34"/>
      <c r="B5" s="25" t="s">
        <v>54</v>
      </c>
      <c r="C5" s="25" t="s">
        <v>55</v>
      </c>
      <c r="D5" s="25" t="s">
        <v>54</v>
      </c>
      <c r="E5" s="25" t="s">
        <v>55</v>
      </c>
      <c r="F5" s="25" t="s">
        <v>54</v>
      </c>
      <c r="G5" s="26" t="s">
        <v>55</v>
      </c>
      <c r="H5" s="37"/>
      <c r="I5" s="37"/>
    </row>
    <row r="6" spans="1:9" ht="17.25">
      <c r="A6" s="27"/>
      <c r="B6" s="28" t="s">
        <v>56</v>
      </c>
      <c r="C6" s="28" t="s">
        <v>57</v>
      </c>
      <c r="D6" s="28" t="s">
        <v>58</v>
      </c>
      <c r="E6" s="28" t="s">
        <v>59</v>
      </c>
      <c r="F6" s="28" t="s">
        <v>60</v>
      </c>
      <c r="G6" s="29" t="s">
        <v>61</v>
      </c>
      <c r="H6" s="37"/>
      <c r="I6" s="37"/>
    </row>
    <row r="7" spans="1:9" ht="17.25">
      <c r="A7" s="30" t="s">
        <v>30</v>
      </c>
      <c r="B7" s="31">
        <v>1258</v>
      </c>
      <c r="C7" s="31">
        <v>4373</v>
      </c>
      <c r="D7" s="31">
        <v>1004</v>
      </c>
      <c r="E7" s="31">
        <v>3490</v>
      </c>
      <c r="F7" s="31">
        <v>814</v>
      </c>
      <c r="G7" s="31">
        <v>2844</v>
      </c>
      <c r="H7" s="35">
        <v>65.040000000000006</v>
      </c>
      <c r="I7" s="35"/>
    </row>
    <row r="8" spans="1:9">
      <c r="A8" s="16"/>
      <c r="B8" s="16"/>
      <c r="C8" s="16"/>
      <c r="D8" s="16"/>
      <c r="E8" s="16"/>
      <c r="F8" s="16"/>
      <c r="G8" s="16"/>
      <c r="H8" s="16"/>
      <c r="I8" s="16"/>
    </row>
    <row r="9" spans="1:9" ht="17.25">
      <c r="A9" s="24"/>
      <c r="B9" s="16"/>
      <c r="C9" s="16"/>
      <c r="D9" s="16"/>
      <c r="E9" s="16"/>
      <c r="F9" s="16"/>
      <c r="G9" s="16"/>
      <c r="H9" s="16"/>
      <c r="I9" s="16"/>
    </row>
    <row r="10" spans="1:9" ht="17.25">
      <c r="A10" s="24"/>
      <c r="B10" s="16"/>
      <c r="C10" s="16"/>
      <c r="D10" s="16"/>
      <c r="E10" s="16"/>
      <c r="F10" s="16"/>
      <c r="G10" s="16"/>
      <c r="H10" s="24" t="s">
        <v>62</v>
      </c>
      <c r="I10" s="16"/>
    </row>
  </sheetData>
  <mergeCells count="6">
    <mergeCell ref="A4:A5"/>
    <mergeCell ref="H7:I7"/>
    <mergeCell ref="B3:C4"/>
    <mergeCell ref="D3:E4"/>
    <mergeCell ref="F3:G4"/>
    <mergeCell ref="H3:I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工作表2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2026-02-10T07:00:55Z</dcterms:created>
  <dcterms:modified xsi:type="dcterms:W3CDTF">2026-05-14T07:05:46Z</dcterms:modified>
</cp:coreProperties>
</file>